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jja\Desktop\"/>
    </mc:Choice>
  </mc:AlternateContent>
  <xr:revisionPtr revIDLastSave="0" documentId="13_ncr:1_{743146F9-9441-4E83-8236-573D34A261A5}" xr6:coauthVersionLast="47" xr6:coauthVersionMax="47" xr10:uidLastSave="{00000000-0000-0000-0000-000000000000}"/>
  <bookViews>
    <workbookView xWindow="-98" yWindow="-98" windowWidth="20715" windowHeight="13276" xr2:uid="{E0F20329-ADF0-4187-B8F7-852A5C6FAE38}"/>
  </bookViews>
  <sheets>
    <sheet name="Sheet1" sheetId="1" r:id="rId1"/>
    <sheet name="Sheet2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2" i="1"/>
  <c r="B19" i="1"/>
  <c r="H3" i="1"/>
  <c r="H11" i="1"/>
  <c r="I3" i="1"/>
  <c r="I4" i="1"/>
  <c r="I5" i="1"/>
  <c r="I6" i="1"/>
  <c r="I7" i="1"/>
  <c r="I8" i="1"/>
  <c r="I9" i="1"/>
  <c r="I10" i="1"/>
  <c r="I11" i="1"/>
  <c r="I2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<sst xmlns="http://schemas.openxmlformats.org/spreadsheetml/2006/main" count="40" uniqueCount="30">
  <si>
    <t>Average</t>
  </si>
  <si>
    <t>Student Name |</t>
  </si>
  <si>
    <t>Subject 1 |</t>
  </si>
  <si>
    <t>Subject 2 |</t>
  </si>
  <si>
    <t>Subject 3 |</t>
  </si>
  <si>
    <t>Ayesha Khan</t>
  </si>
  <si>
    <t>Bilal Ahmed</t>
  </si>
  <si>
    <t>Fatima Noor</t>
  </si>
  <si>
    <t>Hamza Tariq</t>
  </si>
  <si>
    <t>Sara Malik</t>
  </si>
  <si>
    <t>Ali Raza</t>
  </si>
  <si>
    <t>Gender    |</t>
  </si>
  <si>
    <t>Roll No    |</t>
  </si>
  <si>
    <t>Total        |</t>
  </si>
  <si>
    <t>Average   |</t>
  </si>
  <si>
    <t>Grade       |</t>
  </si>
  <si>
    <t>Maryam Zafar</t>
  </si>
  <si>
    <t>Ahmed Farooq</t>
  </si>
  <si>
    <t>Hira Iqbal</t>
  </si>
  <si>
    <t>Usman Khalid</t>
  </si>
  <si>
    <t>F</t>
  </si>
  <si>
    <t>B</t>
  </si>
  <si>
    <t>M</t>
  </si>
  <si>
    <t>A</t>
  </si>
  <si>
    <t>C</t>
  </si>
  <si>
    <t>Marks</t>
  </si>
  <si>
    <t>Enter Roll No</t>
  </si>
  <si>
    <t>,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</si>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</sst>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"/>
      <color rgb="FFEEF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168" fontId="1" fillId="0" borderId="0" xfId="0" applyNumberFormat="1" applyFon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Marks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Bilal Ahmed</c:v>
                </c:pt>
                <c:pt idx="1">
                  <c:v>Maryam Zafar</c:v>
                </c:pt>
                <c:pt idx="2">
                  <c:v>Sara Malik</c:v>
                </c:pt>
                <c:pt idx="3">
                  <c:v>Ayesha Khan</c:v>
                </c:pt>
                <c:pt idx="4">
                  <c:v>Usman Khalid</c:v>
                </c:pt>
                <c:pt idx="5">
                  <c:v>Ali Raza</c:v>
                </c:pt>
                <c:pt idx="6">
                  <c:v>Fatima Noor</c:v>
                </c:pt>
                <c:pt idx="7">
                  <c:v>Ahmed Farooq</c:v>
                </c:pt>
                <c:pt idx="8">
                  <c:v>Hamza Tariq</c:v>
                </c:pt>
                <c:pt idx="9">
                  <c:v>Hira Iqbal</c:v>
                </c:pt>
              </c:strCache>
            </c:str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270</c:v>
                </c:pt>
                <c:pt idx="1">
                  <c:v>263</c:v>
                </c:pt>
                <c:pt idx="2">
                  <c:v>245</c:v>
                </c:pt>
                <c:pt idx="3">
                  <c:v>237</c:v>
                </c:pt>
                <c:pt idx="4">
                  <c:v>231</c:v>
                </c:pt>
                <c:pt idx="5">
                  <c:v>217</c:v>
                </c:pt>
                <c:pt idx="6">
                  <c:v>203</c:v>
                </c:pt>
                <c:pt idx="7">
                  <c:v>184</c:v>
                </c:pt>
                <c:pt idx="8">
                  <c:v>173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4-4862-84DD-92F97706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702351"/>
        <c:axId val="1551702831"/>
      </c:barChart>
      <c:catAx>
        <c:axId val="155170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02831"/>
        <c:crosses val="autoZero"/>
        <c:auto val="1"/>
        <c:lblAlgn val="ctr"/>
        <c:lblOffset val="100"/>
        <c:noMultiLvlLbl val="0"/>
      </c:catAx>
      <c:valAx>
        <c:axId val="155170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0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635793</xdr:colOff>
      <xdr:row>0</xdr:row>
      <xdr:rowOff>164306</xdr:rowOff>
    </xdr:from>
    <xdr:to>
      <xdr:col>17</xdr:col>
      <xdr:colOff>26193</xdr:colOff>
      <xdr:row>16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23994-9242-4E6A-29C1-1F3AD49C2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jjad Ahmed" refreshedDate="45944.399509722221" createdVersion="8" refreshedVersion="8" minRefreshableVersion="3" recordCount="10" xr:uid="{3FE6F5EF-5227-44C6-BCA4-95E7C7D63651}">
  <cacheSource type="worksheet">
    <worksheetSource ref="A1:I11" sheet="Sheet1"/>
  </cacheSource>
  <cacheFields count="9">
    <cacheField name="Student Name |" numFmtId="0">
      <sharedItems/>
    </cacheField>
    <cacheField name="Roll No    |" numFmtId="0">
      <sharedItems containsSemiMixedTypes="0" containsString="0" containsNumber="1" containsInteger="1" minValue="101" maxValue="110"/>
    </cacheField>
    <cacheField name="Gender    |" numFmtId="0">
      <sharedItems count="2">
        <s v="M"/>
        <s v="F"/>
      </sharedItems>
    </cacheField>
    <cacheField name="Subject 1 |" numFmtId="0">
      <sharedItems containsSemiMixedTypes="0" containsString="0" containsNumber="1" containsInteger="1" minValue="49" maxValue="92"/>
    </cacheField>
    <cacheField name="Subject 2 |" numFmtId="0">
      <sharedItems containsSemiMixedTypes="0" containsString="0" containsNumber="1" containsInteger="1" minValue="55" maxValue="90"/>
    </cacheField>
    <cacheField name="Subject 3 |" numFmtId="0">
      <sharedItems containsSemiMixedTypes="0" containsString="0" containsNumber="1" containsInteger="1" minValue="53" maxValue="90"/>
    </cacheField>
    <cacheField name="Total        |" numFmtId="0">
      <sharedItems containsSemiMixedTypes="0" containsString="0" containsNumber="1" containsInteger="1" minValue="157" maxValue="270"/>
    </cacheField>
    <cacheField name="Average   |" numFmtId="168">
      <sharedItems containsSemiMixedTypes="0" containsString="0" containsNumber="1" minValue="52.333333333333336" maxValue="90"/>
    </cacheField>
    <cacheField name="Grade       |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Bilal Ahmed"/>
    <n v="102"/>
    <x v="0"/>
    <n v="92"/>
    <n v="88"/>
    <n v="90"/>
    <n v="270"/>
    <n v="90"/>
    <s v="A"/>
  </r>
  <r>
    <s v="Maryam Zafar"/>
    <n v="107"/>
    <x v="1"/>
    <n v="88"/>
    <n v="90"/>
    <n v="85"/>
    <n v="263"/>
    <n v="87.666666666666671"/>
    <s v="A"/>
  </r>
  <r>
    <s v="Sara Malik"/>
    <n v="105"/>
    <x v="1"/>
    <n v="81"/>
    <n v="79"/>
    <n v="85"/>
    <n v="245"/>
    <n v="81.666666666666671"/>
    <s v="A"/>
  </r>
  <r>
    <s v="Ayesha Khan"/>
    <n v="101"/>
    <x v="1"/>
    <n v="78"/>
    <n v="85"/>
    <n v="74"/>
    <n v="237"/>
    <n v="79"/>
    <s v="B"/>
  </r>
  <r>
    <s v="Usman Khalid"/>
    <n v="110"/>
    <x v="0"/>
    <n v="77"/>
    <n v="80"/>
    <n v="74"/>
    <n v="231"/>
    <n v="77"/>
    <s v="B"/>
  </r>
  <r>
    <s v="Ali Raza"/>
    <n v="106"/>
    <x v="0"/>
    <n v="73"/>
    <n v="69"/>
    <n v="75"/>
    <n v="217"/>
    <n v="72.333333333333329"/>
    <s v="B"/>
  </r>
  <r>
    <s v="Fatima Noor"/>
    <n v="103"/>
    <x v="1"/>
    <n v="65"/>
    <n v="70"/>
    <n v="68"/>
    <n v="203"/>
    <n v="67.666666666666671"/>
    <s v="B"/>
  </r>
  <r>
    <s v="Ahmed Farooq"/>
    <n v="108"/>
    <x v="0"/>
    <n v="61"/>
    <n v="64"/>
    <n v="59"/>
    <n v="184"/>
    <n v="61.333333333333336"/>
    <s v="B"/>
  </r>
  <r>
    <s v="Hamza Tariq"/>
    <n v="104"/>
    <x v="0"/>
    <n v="55"/>
    <n v="58"/>
    <n v="60"/>
    <n v="173"/>
    <n v="57.666666666666664"/>
    <s v="C"/>
  </r>
  <r>
    <s v="Hira Iqbal"/>
    <n v="109"/>
    <x v="1"/>
    <n v="49"/>
    <n v="55"/>
    <n v="53"/>
    <n v="157"/>
    <n v="52.333333333333336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6D967-FFB1-4096-9D88-89A3C052F09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numFmtId="168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" fld="7" subtotal="average" baseField="2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4EFD-DA9F-49B5-933D-EC7DD3D7B8FA}">
  <dimension ref="A1:R26"/>
  <sheetViews>
    <sheetView tabSelected="1" workbookViewId="0">
      <selection activeCell="B22" sqref="B22"/>
    </sheetView>
  </sheetViews>
  <sheetFormatPr defaultRowHeight="14.25" x14ac:dyDescent="0.45"/>
  <cols>
    <col min="1" max="1" width="13.33203125" customWidth="1"/>
    <col min="8" max="8" width="9.06640625" style="5"/>
  </cols>
  <sheetData>
    <row r="1" spans="1:9" x14ac:dyDescent="0.45">
      <c r="A1" s="2" t="s">
        <v>1</v>
      </c>
      <c r="B1" s="2" t="s">
        <v>12</v>
      </c>
      <c r="C1" s="2" t="s">
        <v>11</v>
      </c>
      <c r="D1" s="2" t="s">
        <v>2</v>
      </c>
      <c r="E1" s="2" t="s">
        <v>3</v>
      </c>
      <c r="F1" s="2" t="s">
        <v>4</v>
      </c>
      <c r="G1" s="2" t="s">
        <v>13</v>
      </c>
      <c r="H1" s="4" t="s">
        <v>14</v>
      </c>
      <c r="I1" s="2" t="s">
        <v>15</v>
      </c>
    </row>
    <row r="2" spans="1:9" x14ac:dyDescent="0.45">
      <c r="A2" t="s">
        <v>6</v>
      </c>
      <c r="B2">
        <v>102</v>
      </c>
      <c r="C2" t="s">
        <v>22</v>
      </c>
      <c r="D2">
        <v>92</v>
      </c>
      <c r="E2">
        <v>88</v>
      </c>
      <c r="F2">
        <v>90</v>
      </c>
      <c r="G2">
        <f>SUM(D2:F2)</f>
        <v>270</v>
      </c>
      <c r="H2" s="5">
        <f>AVERAGE(D2:F2)</f>
        <v>90</v>
      </c>
      <c r="I2" t="str">
        <f>IF(H2&gt;=80,"A",IF(H2&gt;=60,"B","C"))</f>
        <v>A</v>
      </c>
    </row>
    <row r="3" spans="1:9" x14ac:dyDescent="0.45">
      <c r="A3" t="s">
        <v>16</v>
      </c>
      <c r="B3">
        <v>107</v>
      </c>
      <c r="C3" t="s">
        <v>20</v>
      </c>
      <c r="D3">
        <v>88</v>
      </c>
      <c r="E3">
        <v>90</v>
      </c>
      <c r="F3">
        <v>85</v>
      </c>
      <c r="G3">
        <f t="shared" ref="G3:G11" si="0">SUM(D3:F3)</f>
        <v>263</v>
      </c>
      <c r="H3" s="5">
        <f>AVERAGE(D3:F3)</f>
        <v>87.666666666666671</v>
      </c>
      <c r="I3" t="str">
        <f t="shared" ref="I3:I11" si="1">IF(H3&gt;=80,"A",IF(H3&gt;=60,"B","C"))</f>
        <v>A</v>
      </c>
    </row>
    <row r="4" spans="1:9" x14ac:dyDescent="0.45">
      <c r="A4" t="s">
        <v>9</v>
      </c>
      <c r="B4">
        <v>105</v>
      </c>
      <c r="C4" t="s">
        <v>20</v>
      </c>
      <c r="D4">
        <v>81</v>
      </c>
      <c r="E4">
        <v>79</v>
      </c>
      <c r="F4">
        <v>85</v>
      </c>
      <c r="G4">
        <f t="shared" si="0"/>
        <v>245</v>
      </c>
      <c r="H4" s="5">
        <f t="shared" ref="H3:H11" si="2">AVERAGE(D4:F4)</f>
        <v>81.666666666666671</v>
      </c>
      <c r="I4" t="str">
        <f t="shared" si="1"/>
        <v>A</v>
      </c>
    </row>
    <row r="5" spans="1:9" x14ac:dyDescent="0.45">
      <c r="A5" s="1" t="s">
        <v>5</v>
      </c>
      <c r="B5">
        <v>101</v>
      </c>
      <c r="C5" t="s">
        <v>20</v>
      </c>
      <c r="D5">
        <v>78</v>
      </c>
      <c r="E5">
        <v>85</v>
      </c>
      <c r="F5">
        <v>74</v>
      </c>
      <c r="G5">
        <f t="shared" si="0"/>
        <v>237</v>
      </c>
      <c r="H5" s="5">
        <f t="shared" si="2"/>
        <v>79</v>
      </c>
      <c r="I5" t="str">
        <f t="shared" si="1"/>
        <v>B</v>
      </c>
    </row>
    <row r="6" spans="1:9" x14ac:dyDescent="0.45">
      <c r="A6" t="s">
        <v>19</v>
      </c>
      <c r="B6">
        <v>110</v>
      </c>
      <c r="C6" t="s">
        <v>22</v>
      </c>
      <c r="D6">
        <v>77</v>
      </c>
      <c r="E6">
        <v>80</v>
      </c>
      <c r="F6">
        <v>74</v>
      </c>
      <c r="G6">
        <f t="shared" si="0"/>
        <v>231</v>
      </c>
      <c r="H6" s="5">
        <f t="shared" si="2"/>
        <v>77</v>
      </c>
      <c r="I6" t="str">
        <f t="shared" si="1"/>
        <v>B</v>
      </c>
    </row>
    <row r="7" spans="1:9" x14ac:dyDescent="0.45">
      <c r="A7" t="s">
        <v>10</v>
      </c>
      <c r="B7">
        <v>106</v>
      </c>
      <c r="C7" t="s">
        <v>22</v>
      </c>
      <c r="D7">
        <v>73</v>
      </c>
      <c r="E7">
        <v>69</v>
      </c>
      <c r="F7">
        <v>75</v>
      </c>
      <c r="G7">
        <f t="shared" si="0"/>
        <v>217</v>
      </c>
      <c r="H7" s="5">
        <f t="shared" si="2"/>
        <v>72.333333333333329</v>
      </c>
      <c r="I7" t="str">
        <f t="shared" si="1"/>
        <v>B</v>
      </c>
    </row>
    <row r="8" spans="1:9" x14ac:dyDescent="0.45">
      <c r="A8" t="s">
        <v>7</v>
      </c>
      <c r="B8">
        <v>103</v>
      </c>
      <c r="C8" t="s">
        <v>20</v>
      </c>
      <c r="D8">
        <v>65</v>
      </c>
      <c r="E8">
        <v>70</v>
      </c>
      <c r="F8">
        <v>68</v>
      </c>
      <c r="G8">
        <f t="shared" si="0"/>
        <v>203</v>
      </c>
      <c r="H8" s="5">
        <f t="shared" si="2"/>
        <v>67.666666666666671</v>
      </c>
      <c r="I8" t="str">
        <f t="shared" si="1"/>
        <v>B</v>
      </c>
    </row>
    <row r="9" spans="1:9" x14ac:dyDescent="0.45">
      <c r="A9" t="s">
        <v>17</v>
      </c>
      <c r="B9">
        <v>108</v>
      </c>
      <c r="C9" t="s">
        <v>22</v>
      </c>
      <c r="D9">
        <v>61</v>
      </c>
      <c r="E9">
        <v>64</v>
      </c>
      <c r="F9">
        <v>59</v>
      </c>
      <c r="G9">
        <f t="shared" si="0"/>
        <v>184</v>
      </c>
      <c r="H9" s="5">
        <f t="shared" si="2"/>
        <v>61.333333333333336</v>
      </c>
      <c r="I9" t="str">
        <f t="shared" si="1"/>
        <v>B</v>
      </c>
    </row>
    <row r="10" spans="1:9" x14ac:dyDescent="0.45">
      <c r="A10" t="s">
        <v>8</v>
      </c>
      <c r="B10">
        <v>104</v>
      </c>
      <c r="C10" t="s">
        <v>22</v>
      </c>
      <c r="D10">
        <v>55</v>
      </c>
      <c r="E10">
        <v>58</v>
      </c>
      <c r="F10">
        <v>60</v>
      </c>
      <c r="G10">
        <f t="shared" si="0"/>
        <v>173</v>
      </c>
      <c r="H10" s="5">
        <f t="shared" si="2"/>
        <v>57.666666666666664</v>
      </c>
      <c r="I10" t="str">
        <f t="shared" si="1"/>
        <v>C</v>
      </c>
    </row>
    <row r="11" spans="1:9" x14ac:dyDescent="0.45">
      <c r="A11" t="s">
        <v>18</v>
      </c>
      <c r="B11">
        <v>109</v>
      </c>
      <c r="C11" t="s">
        <v>20</v>
      </c>
      <c r="D11">
        <v>49</v>
      </c>
      <c r="E11">
        <v>55</v>
      </c>
      <c r="F11">
        <v>53</v>
      </c>
      <c r="G11">
        <f t="shared" si="0"/>
        <v>157</v>
      </c>
      <c r="H11" s="5">
        <f>AVERAGE(D11:F11)</f>
        <v>52.333333333333336</v>
      </c>
      <c r="I11" t="str">
        <f t="shared" si="1"/>
        <v>C</v>
      </c>
    </row>
    <row r="12" spans="1:9" x14ac:dyDescent="0.45">
      <c r="A12" s="3"/>
    </row>
    <row r="16" spans="1:9" x14ac:dyDescent="0.45">
      <c r="I16" s="5"/>
    </row>
    <row r="18" spans="1:18" x14ac:dyDescent="0.45">
      <c r="A18" t="s">
        <v>26</v>
      </c>
      <c r="B18">
        <v>102</v>
      </c>
    </row>
    <row r="19" spans="1:18" x14ac:dyDescent="0.45">
      <c r="A19" t="s">
        <v>25</v>
      </c>
      <c r="B19">
        <f>VLOOKUP(B18, B2:H11, 6, FALSE)</f>
        <v>270</v>
      </c>
    </row>
    <row r="22" spans="1:18" x14ac:dyDescent="0.45">
      <c r="A22" t="s">
        <v>23</v>
      </c>
      <c r="B22">
        <f>COUNTIF(I2:I11,A22)</f>
        <v>3</v>
      </c>
    </row>
    <row r="23" spans="1:18" x14ac:dyDescent="0.45">
      <c r="A23" t="s">
        <v>21</v>
      </c>
      <c r="B23">
        <f>COUNTIF(I2:I11,A23)</f>
        <v>5</v>
      </c>
    </row>
    <row r="24" spans="1:18" x14ac:dyDescent="0.45">
      <c r="A24" t="s">
        <v>24</v>
      </c>
      <c r="B24">
        <f>COUNTIF(I2:I11,A24)</f>
        <v>2</v>
      </c>
    </row>
    <row r="26" spans="1:18" x14ac:dyDescent="0.45">
      <c r="R26" t="s">
        <v>27</v>
      </c>
    </row>
  </sheetData>
  <sortState xmlns:xlrd2="http://schemas.microsoft.com/office/spreadsheetml/2017/richdata2" ref="A2:I11">
    <sortCondition descending="1" ref="H2:H11"/>
  </sortState>
  <conditionalFormatting sqref="I2:I11">
    <cfRule type="containsText" dxfId="0" priority="2" operator="containsText" text="C">
      <formula>NOT(ISERROR(SEARCH("C",I2)))</formula>
    </cfRule>
    <cfRule type="containsText" dxfId="1" priority="1" operator="containsText" text="A">
      <formula>NOT(ISERROR(SEARCH("A",I2)))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8844-262B-4CDD-B0B4-3CA73A9BCFC3}">
  <dimension ref="A3:B6"/>
  <sheetViews>
    <sheetView workbookViewId="0">
      <selection activeCell="E11" sqref="E11"/>
    </sheetView>
  </sheetViews>
  <sheetFormatPr defaultRowHeight="14.25" x14ac:dyDescent="0.45"/>
  <cols>
    <col min="1" max="1" width="12.06640625" bestFit="1" customWidth="1"/>
    <col min="2" max="2" width="7.3984375" bestFit="1" customWidth="1"/>
  </cols>
  <sheetData>
    <row r="3" spans="1:2" x14ac:dyDescent="0.45">
      <c r="A3" s="6" t="s">
        <v>28</v>
      </c>
      <c r="B3" t="s">
        <v>0</v>
      </c>
    </row>
    <row r="4" spans="1:2" x14ac:dyDescent="0.45">
      <c r="A4" s="7" t="s">
        <v>20</v>
      </c>
      <c r="B4" s="5">
        <v>73.666666666666657</v>
      </c>
    </row>
    <row r="5" spans="1:2" x14ac:dyDescent="0.45">
      <c r="A5" s="7" t="s">
        <v>22</v>
      </c>
      <c r="B5" s="5">
        <v>71.666666666666657</v>
      </c>
    </row>
    <row r="6" spans="1:2" x14ac:dyDescent="0.45">
      <c r="A6" s="7" t="s">
        <v>29</v>
      </c>
      <c r="B6" s="5">
        <v>72.666666666666657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Faris Sajjad</dc:creator>
  <cp:lastModifiedBy>Faris Sajjad</cp:lastModifiedBy>
  <dcterms:created xsi:type="dcterms:W3CDTF">2025-10-14T03:04:20Z</dcterms:created>
  <dcterms:modified xsi:type="dcterms:W3CDTF">2025-10-14T04:50:10Z</dcterms:modified>
</cp:coreProperties>
</file>